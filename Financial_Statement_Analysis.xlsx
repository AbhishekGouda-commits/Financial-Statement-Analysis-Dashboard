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31ca57b4142996/Documents/"/>
    </mc:Choice>
  </mc:AlternateContent>
  <xr:revisionPtr revIDLastSave="1" documentId="8_{67FBDCB6-95BF-4260-BD85-9D0032581EB4}" xr6:coauthVersionLast="47" xr6:coauthVersionMax="47" xr10:uidLastSave="{561A520D-06CF-4165-94C9-9847F33D30F6}"/>
  <bookViews>
    <workbookView xWindow="-110" yWindow="-110" windowWidth="19420" windowHeight="10420" activeTab="3" xr2:uid="{F5D41D38-80F7-4814-8431-15CAD67A5CA4}"/>
  </bookViews>
  <sheets>
    <sheet name="Income_statement" sheetId="1" r:id="rId1"/>
    <sheet name="Balance_sheet" sheetId="2" r:id="rId2"/>
    <sheet name="Ratio_Analysis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K5" i="4"/>
  <c r="K4" i="4"/>
  <c r="K3" i="4"/>
  <c r="C2" i="3"/>
  <c r="D2" i="3"/>
  <c r="B3" i="3"/>
  <c r="C3" i="3"/>
  <c r="D3" i="3"/>
  <c r="B4" i="3"/>
  <c r="C4" i="3"/>
  <c r="D4" i="3"/>
  <c r="D2" i="2"/>
  <c r="D3" i="2"/>
  <c r="D4" i="2"/>
  <c r="F4" i="1"/>
  <c r="F3" i="1"/>
  <c r="F2" i="1"/>
  <c r="D4" i="1"/>
  <c r="D3" i="1"/>
  <c r="D2" i="1"/>
</calcChain>
</file>

<file path=xl/sharedStrings.xml><?xml version="1.0" encoding="utf-8"?>
<sst xmlns="http://schemas.openxmlformats.org/spreadsheetml/2006/main" count="17" uniqueCount="15">
  <si>
    <t>Year</t>
  </si>
  <si>
    <t>Revenue</t>
  </si>
  <si>
    <t>COGS</t>
  </si>
  <si>
    <t>Gross Profit</t>
  </si>
  <si>
    <t>Operating Expenses</t>
  </si>
  <si>
    <t>Net Profit</t>
  </si>
  <si>
    <t>Total Assets</t>
  </si>
  <si>
    <t>Total Liabilities</t>
  </si>
  <si>
    <t>Equity</t>
  </si>
  <si>
    <t>Gross Margin</t>
  </si>
  <si>
    <t>Net Margin</t>
  </si>
  <si>
    <t>Debt Equity Ratio</t>
  </si>
  <si>
    <t>Revenue Growth</t>
  </si>
  <si>
    <t>Profit Comparison</t>
  </si>
  <si>
    <t>Margin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</si>
</sst>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&quot;$&quot;#,##0.00"/>
    <numFmt numFmtId="169" formatCode="[$₹-4009]\ #,##0.00"/>
    <numFmt numFmtId="170" formatCode="[$₹-4009]\ #,##0.00000000"/>
    <numFmt numFmtId="171" formatCode="[$₹-4009]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center" vertical="center" wrapText="1"/>
    </xf>
    <xf numFmtId="4" fontId="0" fillId="0" borderId="1" xfId="0" applyNumberFormat="1" applyBorder="1" applyAlignment="1">
      <alignment vertical="center" wrapText="1"/>
    </xf>
    <xf numFmtId="4" fontId="0" fillId="0" borderId="2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169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171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Growth Trend (2022–2024)</a:t>
            </a:r>
          </a:p>
        </c:rich>
      </c:tx>
      <c:layout>
        <c:manualLayout>
          <c:xMode val="edge"/>
          <c:yMode val="edge"/>
          <c:x val="0.16591921585023112"/>
          <c:y val="3.3426183844011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DASHBOARD!$C$2:$C$5</c:f>
              <c:numCache>
                <c:formatCode>#,##0.00</c:formatCode>
                <c:ptCount val="4"/>
                <c:pt idx="0">
                  <c:v>0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0A-4C59-80BD-75CF83742A6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DASHBOARD!$D$2:$D$5</c:f>
              <c:numCache>
                <c:formatCode>#,##0.00</c:formatCode>
                <c:ptCount val="4"/>
                <c:pt idx="1">
                  <c:v>4800000</c:v>
                </c:pt>
                <c:pt idx="2">
                  <c:v>5600000</c:v>
                </c:pt>
                <c:pt idx="3">
                  <c:v>6500000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0A-4C59-80BD-75CF83742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7841120"/>
        <c:axId val="1107856000"/>
      </c:lineChart>
      <c:catAx>
        <c:axId val="1107841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856000"/>
        <c:crosses val="autoZero"/>
        <c:auto val="1"/>
        <c:lblAlgn val="ctr"/>
        <c:lblOffset val="100"/>
        <c:noMultiLvlLbl val="0"/>
      </c:catAx>
      <c:valAx>
        <c:axId val="110785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84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val>
            <c:numRef>
              <c:f>DASHBOARD!$J$2:$J$5</c:f>
              <c:numCache>
                <c:formatCode>#,##0.00</c:formatCode>
                <c:ptCount val="4"/>
                <c:pt idx="0">
                  <c:v>0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5-4076-89C5-4E1E6C616BD9}"/>
            </c:ext>
          </c:extLst>
        </c:ser>
        <c:ser>
          <c:idx val="1"/>
          <c:order val="1"/>
          <c:spPr>
            <a:gradFill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val>
            <c:numRef>
              <c:f>DASHBOARD!$K$2:$K$5</c:f>
              <c:numCache>
                <c:formatCode>#,##0.00</c:formatCode>
                <c:ptCount val="4"/>
                <c:pt idx="1">
                  <c:v>-2022</c:v>
                </c:pt>
                <c:pt idx="2">
                  <c:v>-2023</c:v>
                </c:pt>
                <c:pt idx="3">
                  <c:v>-2024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C5-4076-89C5-4E1E6C616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111602592"/>
        <c:axId val="1111606912"/>
        <c:axId val="0"/>
      </c:bar3DChart>
      <c:catAx>
        <c:axId val="1111602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6912"/>
        <c:crosses val="autoZero"/>
        <c:auto val="1"/>
        <c:lblAlgn val="ctr"/>
        <c:lblOffset val="100"/>
        <c:noMultiLvlLbl val="0"/>
      </c:catAx>
      <c:valAx>
        <c:axId val="111160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Profitability Ratio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DASHBOARD!$Q$2:$Q$5</c:f>
              <c:numCache>
                <c:formatCode>[$₹-4009]\ #,##0.00</c:formatCode>
                <c:ptCount val="4"/>
                <c:pt idx="0">
                  <c:v>0</c:v>
                </c:pt>
                <c:pt idx="1">
                  <c:v>0.40625</c:v>
                </c:pt>
                <c:pt idx="2">
                  <c:v>0.42857142999999998</c:v>
                </c:pt>
                <c:pt idx="3">
                  <c:v>0.44615385000000002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3-4C6F-9F47-14D2B5E379E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DASHBOARD!$R$2:$R$5</c:f>
              <c:numCache>
                <c:formatCode>[$₹-4009]\ #,##0.00</c:formatCode>
                <c:ptCount val="4"/>
                <c:pt idx="1">
                  <c:v>0.59574468000000003</c:v>
                </c:pt>
                <c:pt idx="2">
                  <c:v>0.60377358000000003</c:v>
                </c:pt>
                <c:pt idx="3">
                  <c:v>0.58333332999999998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C3-4C6F-9F47-14D2B5E37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2808704"/>
        <c:axId val="1252806784"/>
        <c:axId val="0"/>
      </c:bar3DChart>
      <c:catAx>
        <c:axId val="1252808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806784"/>
        <c:crosses val="autoZero"/>
        <c:auto val="1"/>
        <c:lblAlgn val="ctr"/>
        <c:lblOffset val="100"/>
        <c:noMultiLvlLbl val="0"/>
      </c:catAx>
      <c:valAx>
        <c:axId val="125280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80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384175</xdr:colOff>
      <xdr:row>5</xdr:row>
      <xdr:rowOff>177800</xdr:rowOff>
    </xdr:from>
    <xdr:to>
      <xdr:col>6</xdr:col>
      <xdr:colOff>38100</xdr:colOff>
      <xdr:row>18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AED50F-8286-EA62-8925-C0C160C27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168275</xdr:colOff>
      <xdr:row>6</xdr:row>
      <xdr:rowOff>12700</xdr:rowOff>
    </xdr:from>
    <xdr:to>
      <xdr:col>13</xdr:col>
      <xdr:colOff>311150</xdr:colOff>
      <xdr:row>18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6A5B72F-130D-E554-D8E9-89E400C51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527050</xdr:colOff>
      <xdr:row>5</xdr:row>
      <xdr:rowOff>107950</xdr:rowOff>
    </xdr:from>
    <xdr:to>
      <xdr:col>19</xdr:col>
      <xdr:colOff>44450</xdr:colOff>
      <xdr:row>18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70D2181-62AE-92A9-4592-302B215D1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429F-B5CB-4216-83A8-79A9BFD8ABC3}">
  <dimension ref="A1:F4"/>
  <sheetViews>
    <sheetView workbookViewId="0">
      <selection activeCell="E10" sqref="E10"/>
    </sheetView>
  </sheetViews>
  <sheetFormatPr defaultRowHeight="14.5" x14ac:dyDescent="0.35"/>
  <cols>
    <col min="2" max="3" width="12.453125" bestFit="1" customWidth="1"/>
    <col min="4" max="4" width="11.453125" bestFit="1" customWidth="1"/>
    <col min="5" max="5" width="12.08984375" customWidth="1"/>
    <col min="6" max="6" width="11.453125" bestFit="1" customWidth="1"/>
  </cols>
  <sheetData>
    <row r="1" spans="1:6" ht="29" x14ac:dyDescent="0.35">
      <c r="A1" s="1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1" t="s">
        <v>5</v>
      </c>
    </row>
    <row r="2" spans="1:6" x14ac:dyDescent="0.35">
      <c r="A2" s="2">
        <v>2022</v>
      </c>
      <c r="B2" s="13">
        <v>4800000</v>
      </c>
      <c r="C2" s="13">
        <v>2850000</v>
      </c>
      <c r="D2" s="13">
        <f>B2-C2</f>
        <v>1950000</v>
      </c>
      <c r="E2" s="13">
        <v>900000</v>
      </c>
      <c r="F2" s="13">
        <f>D2-E2</f>
        <v>1050000</v>
      </c>
    </row>
    <row r="3" spans="1:6" x14ac:dyDescent="0.35">
      <c r="A3" s="2">
        <v>2023</v>
      </c>
      <c r="B3" s="13">
        <v>5600000</v>
      </c>
      <c r="C3" s="13">
        <v>3200000</v>
      </c>
      <c r="D3" s="13">
        <f>B3-C3</f>
        <v>2400000</v>
      </c>
      <c r="E3" s="13">
        <v>1050000</v>
      </c>
      <c r="F3" s="13">
        <f>D3-E3</f>
        <v>1350000</v>
      </c>
    </row>
    <row r="4" spans="1:6" x14ac:dyDescent="0.35">
      <c r="A4" s="2">
        <v>2024</v>
      </c>
      <c r="B4" s="13">
        <v>6500000</v>
      </c>
      <c r="C4" s="13">
        <v>3600000</v>
      </c>
      <c r="D4" s="13">
        <f>B4-C4</f>
        <v>2900000</v>
      </c>
      <c r="E4" s="13">
        <v>1200000</v>
      </c>
      <c r="F4" s="13">
        <f>D4-E4</f>
        <v>1700000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D5EC-9449-4383-A011-EC63D7295464}">
  <dimension ref="A1:D4"/>
  <sheetViews>
    <sheetView workbookViewId="0">
      <selection activeCell="E12" sqref="E12"/>
    </sheetView>
  </sheetViews>
  <sheetFormatPr defaultRowHeight="14.5" x14ac:dyDescent="0.35"/>
  <cols>
    <col min="2" max="3" width="10.453125" bestFit="1" customWidth="1"/>
    <col min="4" max="4" width="10.26953125" bestFit="1" customWidth="1"/>
  </cols>
  <sheetData>
    <row r="1" spans="1:4" ht="29" x14ac:dyDescent="0.35">
      <c r="A1" s="1" t="s">
        <v>0</v>
      </c>
      <c r="B1" s="3" t="s">
        <v>6</v>
      </c>
      <c r="C1" s="3" t="s">
        <v>7</v>
      </c>
      <c r="D1" s="1" t="s">
        <v>8</v>
      </c>
    </row>
    <row r="2" spans="1:4" x14ac:dyDescent="0.35">
      <c r="A2" s="2">
        <v>2022</v>
      </c>
      <c r="B2" s="12">
        <v>7500000</v>
      </c>
      <c r="C2" s="12">
        <v>2800000</v>
      </c>
      <c r="D2" s="12">
        <f>B2-C2</f>
        <v>4700000</v>
      </c>
    </row>
    <row r="3" spans="1:4" x14ac:dyDescent="0.35">
      <c r="A3" s="2">
        <v>2023</v>
      </c>
      <c r="B3" s="12">
        <v>8500000</v>
      </c>
      <c r="C3" s="12">
        <v>3200000</v>
      </c>
      <c r="D3" s="12">
        <f>B3-C3</f>
        <v>5300000</v>
      </c>
    </row>
    <row r="4" spans="1:4" x14ac:dyDescent="0.35">
      <c r="A4" s="2">
        <v>2024</v>
      </c>
      <c r="B4" s="12">
        <v>9500000</v>
      </c>
      <c r="C4" s="12">
        <v>3500000</v>
      </c>
      <c r="D4" s="12">
        <f>B4-C4</f>
        <v>6000000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8399-2F59-4DCF-84CB-331C01FAB491}">
  <dimension ref="A1:D4"/>
  <sheetViews>
    <sheetView workbookViewId="0">
      <selection activeCell="D9" sqref="D9"/>
    </sheetView>
  </sheetViews>
  <sheetFormatPr defaultRowHeight="14.5" x14ac:dyDescent="0.35"/>
  <cols>
    <col min="1" max="1" width="4.81640625" bestFit="1" customWidth="1"/>
    <col min="2" max="4" width="11.7265625" bestFit="1" customWidth="1"/>
  </cols>
  <sheetData>
    <row r="1" spans="1:4" ht="43.5" x14ac:dyDescent="0.3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35">
      <c r="A2" s="2">
        <v>2022</v>
      </c>
      <c r="B2" s="11">
        <f>Income_statement!D2/Income_statement!B2</f>
        <v>0.40625</v>
      </c>
      <c r="C2" s="11">
        <f>Income_statement!F2/Income_statement!B2</f>
        <v>0.21875</v>
      </c>
      <c r="D2" s="11">
        <f>Balance_sheet!C2/Balance_sheet!D2</f>
        <v>0.5957446808510638</v>
      </c>
    </row>
    <row r="3" spans="1:4" x14ac:dyDescent="0.35">
      <c r="A3" s="2">
        <v>2023</v>
      </c>
      <c r="B3" s="11">
        <f>Income_statement!D3/Income_statement!B3</f>
        <v>0.42857142857142855</v>
      </c>
      <c r="C3" s="11">
        <f>Income_statement!F3/Income_statement!B3</f>
        <v>0.24107142857142858</v>
      </c>
      <c r="D3" s="11">
        <f>Balance_sheet!C3/Balance_sheet!D3</f>
        <v>0.60377358490566035</v>
      </c>
    </row>
    <row r="4" spans="1:4" x14ac:dyDescent="0.35">
      <c r="A4" s="2">
        <v>2024</v>
      </c>
      <c r="B4" s="11">
        <f>Income_statement!D4/Income_statement!B4</f>
        <v>0.44615384615384618</v>
      </c>
      <c r="C4" s="11">
        <f>Income_statement!F4/Income_statement!B4</f>
        <v>0.26153846153846155</v>
      </c>
      <c r="D4" s="11">
        <f>Balance_sheet!C4/Balance_sheet!D4</f>
        <v>0.58333333333333337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8DB7-08BF-4B74-935C-C315C077960C}">
  <dimension ref="C2:R5"/>
  <sheetViews>
    <sheetView tabSelected="1" zoomScaleNormal="100" workbookViewId="0">
      <selection activeCell="Q3" sqref="Q3"/>
    </sheetView>
  </sheetViews>
  <sheetFormatPr defaultRowHeight="14.5" x14ac:dyDescent="0.35"/>
  <cols>
    <col min="3" max="3" width="7.90625" bestFit="1" customWidth="1"/>
    <col min="4" max="4" width="11.54296875" bestFit="1" customWidth="1"/>
    <col min="8" max="8" width="4.81640625" bestFit="1" customWidth="1"/>
    <col min="9" max="9" width="8.54296875" bestFit="1" customWidth="1"/>
    <col min="16" max="16" width="8.7265625" customWidth="1"/>
    <col min="17" max="18" width="10.36328125" bestFit="1" customWidth="1"/>
  </cols>
  <sheetData>
    <row r="2" spans="3:18" x14ac:dyDescent="0.35">
      <c r="C2" s="6" t="s">
        <v>12</v>
      </c>
      <c r="D2" s="7"/>
      <c r="J2" s="6" t="s">
        <v>13</v>
      </c>
      <c r="K2" s="7"/>
      <c r="Q2" s="8" t="s">
        <v>14</v>
      </c>
      <c r="R2" s="9"/>
    </row>
    <row r="3" spans="3:18" x14ac:dyDescent="0.35">
      <c r="C3" s="5">
        <v>2022</v>
      </c>
      <c r="D3" s="5">
        <v>4800000</v>
      </c>
      <c r="J3" s="5">
        <v>2022</v>
      </c>
      <c r="K3" s="5">
        <f>G3-J3</f>
        <v>-2022</v>
      </c>
      <c r="Q3" s="10">
        <v>0.40625</v>
      </c>
      <c r="R3" s="10">
        <v>0.59574468000000003</v>
      </c>
    </row>
    <row r="4" spans="3:18" x14ac:dyDescent="0.35">
      <c r="C4" s="5">
        <v>2023</v>
      </c>
      <c r="D4" s="5">
        <v>5600000</v>
      </c>
      <c r="J4" s="5">
        <v>2023</v>
      </c>
      <c r="K4" s="5">
        <f>G4-J4</f>
        <v>-2023</v>
      </c>
      <c r="Q4" s="10">
        <v>0.42857142999999998</v>
      </c>
      <c r="R4" s="10">
        <v>0.60377358000000003</v>
      </c>
    </row>
    <row r="5" spans="3:18" x14ac:dyDescent="0.35">
      <c r="C5" s="5">
        <v>2024</v>
      </c>
      <c r="D5" s="5">
        <v>6500000</v>
      </c>
      <c r="J5" s="5">
        <v>2024</v>
      </c>
      <c r="K5" s="5">
        <f>G5-J5</f>
        <v>-2024</v>
      </c>
      <c r="Q5" s="10">
        <v>0.44615385000000002</v>
      </c>
      <c r="R5" s="10">
        <v>0.58333332999999998</v>
      </c>
    </row>
  </sheetData>
  <mergeCells count="3">
    <mergeCell ref="C2:D2"/>
    <mergeCell ref="J2:K2"/>
    <mergeCell ref="Q2:R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Income_statement</vt:lpstr>
      <vt:lpstr>Balance_sheet</vt:lpstr>
      <vt:lpstr>Ratio_Analysis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Gouda</dc:creator>
  <cp:lastModifiedBy>Abhishek Gouda</cp:lastModifiedBy>
  <dcterms:created xsi:type="dcterms:W3CDTF">2026-01-30T10:23:08Z</dcterms:created>
  <dcterms:modified xsi:type="dcterms:W3CDTF">2026-01-30T11:34:05Z</dcterms:modified>
</cp:coreProperties>
</file>